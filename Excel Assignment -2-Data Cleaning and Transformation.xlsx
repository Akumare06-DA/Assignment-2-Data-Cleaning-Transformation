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83703c093884e9e4/Attachments/Desktop/Data Analytics/Assignments/"/>
    </mc:Choice>
  </mc:AlternateContent>
  <xr:revisionPtr revIDLastSave="191" documentId="8_{D1FBD287-353F-4AF6-92B0-2B455531AA60}" xr6:coauthVersionLast="47" xr6:coauthVersionMax="47" xr10:uidLastSave="{C343883E-A3B8-4E6D-954F-D3245C2AF04A}"/>
  <bookViews>
    <workbookView xWindow="-108" yWindow="-108" windowWidth="23256" windowHeight="12456" activeTab="2" xr2:uid="{00000000-000D-0000-FFFF-FFFF00000000}"/>
  </bookViews>
  <sheets>
    <sheet name="Instructions" sheetId="1" r:id="rId1"/>
    <sheet name="Dataset" sheetId="2" r:id="rId2"/>
    <sheet name="Solutions" sheetId="5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rIR6213FxEpgZ/k1UDjxyMHI45/G9Bc960XOAAH4UN4="/>
    </ext>
  </extLst>
</workbook>
</file>

<file path=xl/calcChain.xml><?xml version="1.0" encoding="utf-8"?>
<calcChain xmlns="http://schemas.openxmlformats.org/spreadsheetml/2006/main">
  <c r="F2" i="5" l="1"/>
  <c r="C2" i="5"/>
  <c r="B2" i="5"/>
  <c r="C3" i="5"/>
  <c r="C4" i="5"/>
  <c r="C5" i="5"/>
  <c r="C6" i="5"/>
  <c r="C7" i="5"/>
  <c r="C8" i="5"/>
  <c r="C9" i="5"/>
  <c r="C10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B3" i="5"/>
  <c r="B4" i="5"/>
  <c r="B5" i="5"/>
  <c r="B6" i="5"/>
  <c r="B7" i="5"/>
  <c r="B8" i="5"/>
  <c r="B9" i="5"/>
  <c r="B10" i="5"/>
  <c r="B11" i="5"/>
  <c r="B12" i="5"/>
  <c r="B13" i="5"/>
  <c r="B14" i="5"/>
  <c r="B15" i="5"/>
  <c r="B16" i="5"/>
  <c r="B17" i="5"/>
  <c r="B18" i="5"/>
  <c r="B19" i="5"/>
  <c r="B20" i="5"/>
  <c r="B21" i="5"/>
  <c r="B22" i="5"/>
  <c r="B23" i="5"/>
  <c r="B24" i="5"/>
  <c r="B25" i="5"/>
  <c r="B26" i="5"/>
  <c r="B27" i="5"/>
  <c r="B28" i="5"/>
  <c r="B29" i="5"/>
  <c r="B30" i="5"/>
  <c r="B31" i="5"/>
  <c r="B32" i="5"/>
  <c r="F3" i="5"/>
  <c r="F4" i="5"/>
  <c r="F5" i="5"/>
  <c r="F6" i="5"/>
  <c r="F7" i="5"/>
  <c r="F8" i="5"/>
  <c r="F9" i="5"/>
  <c r="F10" i="5"/>
  <c r="F11" i="5"/>
  <c r="F12" i="5"/>
  <c r="F13" i="5"/>
  <c r="F14" i="5"/>
  <c r="F15" i="5"/>
  <c r="F16" i="5"/>
  <c r="F17" i="5"/>
  <c r="F18" i="5"/>
  <c r="F19" i="5"/>
  <c r="F20" i="5"/>
  <c r="F21" i="5"/>
  <c r="F22" i="5"/>
  <c r="F23" i="5"/>
  <c r="F24" i="5"/>
  <c r="F25" i="5"/>
  <c r="F26" i="5"/>
  <c r="F27" i="5"/>
  <c r="F28" i="5"/>
  <c r="F29" i="5"/>
  <c r="F30" i="5"/>
  <c r="F31" i="5"/>
  <c r="F32" i="5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0A9DC3C-D5FE-4FDA-8630-66AD51046236}" keepAlive="1" name="Query - Dataset" description="Connection to the 'Dataset' query in the workbook." type="5" refreshedVersion="0" background="1">
    <dbPr connection="Provider=Microsoft.Mashup.OleDb.1;Data Source=$Workbook$;Location=Dataset;Extended Properties=&quot;&quot;" command="SELECT * FROM [Dataset]"/>
  </connection>
  <connection id="2" xr16:uid="{D3EE18C7-BC1B-4745-B9D2-857548E4B6C3}" keepAlive="1" name="Query - Dataset (2)" description="Connection to the 'Dataset (2)' query in the workbook." type="5" refreshedVersion="0" background="1">
    <dbPr connection="Provider=Microsoft.Mashup.OleDb.1;Data Source=$Workbook$;Location=&quot;Dataset (2)&quot;;Extended Properties=&quot;&quot;" command="SELECT * FROM [Dataset (2)]"/>
  </connection>
</connections>
</file>

<file path=xl/sharedStrings.xml><?xml version="1.0" encoding="utf-8"?>
<sst xmlns="http://schemas.openxmlformats.org/spreadsheetml/2006/main" count="290" uniqueCount="152">
  <si>
    <t>Perform the following in the dataset from the 'Dataset' sheet.</t>
  </si>
  <si>
    <t>1) Handling Missing Values:</t>
  </si>
  <si>
    <t>• Check for missing values in the 'Price' column. How would you handle products with missing price information?</t>
  </si>
  <si>
    <t>• If there are products with missing categories, propose a strategy to impute or deal with these missing values effectively.</t>
  </si>
  <si>
    <t>2) Correcting Inconsistent Data:</t>
  </si>
  <si>
    <t>• Identify any inconsistent text formats present in the "Product Name" column.</t>
  </si>
  <si>
    <t>• Identify any typos present in the "Category" column.</t>
  </si>
  <si>
    <t>• Use the find and replace function to standardize the text formats in the "Product Name" column and fix any typos or misspellings in the "Category" column.</t>
  </si>
  <si>
    <t>3) Removing Duplicates:</t>
  </si>
  <si>
    <t>• Identify any duplicate rows within the dataset based on the entirety of each row, and remove them if any.</t>
  </si>
  <si>
    <t>4) Splitting and Merging Data:</t>
  </si>
  <si>
    <t>• Split the "Product ID" column into two separate columns for " Manufacturing Date" and "Country Code". Remove unnecessary characters, if any.</t>
  </si>
  <si>
    <t>• Merge the "Brand Name" and "Product Name" columns into one column named "Product Brand".</t>
  </si>
  <si>
    <t>5) Number Formatting:</t>
  </si>
  <si>
    <t xml:space="preserve">• Format the data type of the "Price" column to currency format. </t>
  </si>
  <si>
    <t xml:space="preserve">• Format the "Manufacturing Date" column to display dates in the "DD-MM-YYYY " format. </t>
  </si>
  <si>
    <t>6) Conditional Formatting:</t>
  </si>
  <si>
    <t>• Apply data bar or color scales conditional formatting in the "Price" column.</t>
  </si>
  <si>
    <t>• Create a custom rule for conditional formatting in the "Category" column to highlight cells where the category is "Electronics."</t>
  </si>
  <si>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</si>
  <si>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</si>
  <si>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</si>
  <si>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</si>
  <si>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</si>
  <si>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</si>
  <si>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</si>
  <si>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</si>
  <si>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</si>
  <si>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</si>
  <si>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</si>
  <si>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</si>
  <si>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</si>
  <si>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</si>
  <si>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</si>
  <si>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</si>
  <si>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</si>
  <si>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</si>
  <si>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</si>
  <si>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</si>
  <si>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</si>
  <si>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</si>
  <si>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</si>
  <si>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</si>
  <si>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07-JUN-UK</t>
  </si>
  <si>
    <t>Headphones</t>
  </si>
  <si>
    <t>Sony</t>
  </si>
  <si>
    <t>Electroni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</si>
  <si>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</si>
  <si>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</si>
  <si>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</si>
  <si>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</si>
  <si>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</si>
  <si>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</si>
  <si>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</si>
  <si>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</si>
  <si>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</si>
  <si>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</si>
  <si>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</si>
  <si>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</si>
  <si>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Outdoor</t>
  </si>
  <si>
    <t>17-JUN-IN</t>
  </si>
  <si>
    <t>Laptop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</si>
  <si>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</si>
  <si>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</si>
  <si>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</si>
  <si>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</si>
  <si>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</si>
  <si>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</si>
  <si>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</si>
  <si>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</si>
  <si>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headphones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</si>
  <si>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</si>
  <si>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</si>
  <si>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</si>
  <si>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</si>
  <si>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</si>
  <si>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</si>
  <si>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</si>
  <si>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</si>
  <si>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</si>
  <si>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</si>
  <si>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</si>
  <si>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</si>
  <si>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</si>
  <si>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</si>
  <si>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</si>
  <si>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</si>
  <si>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</si>
  <si>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</si>
  <si>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</si>
  <si>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</si>
  <si>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</si>
  <si>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</si>
  <si>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</si>
  <si>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</si>
  <si>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</si>
  <si>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Smartphone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</si>
  <si>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</si>
  <si>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</si>
  <si>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</si>
  <si>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</si>
  <si>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</si>
  <si>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</si>
  <si>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</si>
  <si>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</si>
  <si>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</si>
  <si>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</si>
  <si>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</si>
  <si>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</si>
  <si>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</si>
  <si>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</si>
  <si>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</si>
  <si>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</si>
  <si>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</si>
  <si>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</si>
  <si>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</si>
  <si>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T-Shirt</t>
  </si>
  <si>
    <t>Levi'S</t>
  </si>
  <si>
    <t>Manufacturing Date</t>
  </si>
  <si>
    <t>Country Code</t>
  </si>
  <si>
    <t>Product Brand</t>
  </si>
  <si>
    <t>28-JAN-2022-US</t>
  </si>
  <si>
    <t>15-FEB-2022-US</t>
  </si>
  <si>
    <t>03-MAR-2022-US</t>
  </si>
  <si>
    <t>11-APR-2022-US</t>
  </si>
  <si>
    <t>22-MAY-2022-US</t>
  </si>
  <si>
    <t>07-JUN-2022-UK</t>
  </si>
  <si>
    <t>19-JUL-2022-UK</t>
  </si>
  <si>
    <t>23-AUG-2022-UK</t>
  </si>
  <si>
    <t>05-SEP-2022-UK</t>
  </si>
  <si>
    <t>14-OCT-2022-UK</t>
  </si>
  <si>
    <t>17-JUN-2022-IN</t>
  </si>
  <si>
    <t>25-NOV-2022-AU</t>
  </si>
  <si>
    <t>08-DEC-2022-DE</t>
  </si>
  <si>
    <t>18-FEB-2022-CA</t>
  </si>
  <si>
    <t>16-APR-2022-ES</t>
  </si>
  <si>
    <t>21-AUG-2022-CA</t>
  </si>
  <si>
    <t>20-AUG-2022-CN</t>
  </si>
  <si>
    <t>27-JAN-2022-IT</t>
  </si>
  <si>
    <t>01-MAR-2022-UK</t>
  </si>
  <si>
    <t>14-AUG-2022-US</t>
  </si>
  <si>
    <t>14-MAY-2022-RU</t>
  </si>
  <si>
    <t>09-JAN-2022-CA</t>
  </si>
  <si>
    <t>19-JUL-2022-BR</t>
  </si>
  <si>
    <t>29-SEP-2022-CA</t>
  </si>
  <si>
    <t>03-JUN-2022-CA</t>
  </si>
  <si>
    <t>11-JUL-2022-CA</t>
  </si>
  <si>
    <t>07-MAR-2022-CA</t>
  </si>
  <si>
    <t>13-APR-2022-CA</t>
  </si>
  <si>
    <t>24-MAY-2022-CA</t>
  </si>
  <si>
    <t>02-DEC-2022-CA</t>
  </si>
  <si>
    <t>09-JUL-2022-FR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</si>
</sst>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₹&quot;\ #,##0.00"/>
    <numFmt numFmtId="165" formatCode="[$$-409]#,##0.00"/>
  </numFmts>
  <fonts count="10" x14ac:knownFonts="1">
    <font>
      <sz val="10"/>
      <color rgb="FF000000"/>
      <name val="Arial"/>
      <scheme val="minor"/>
    </font>
    <font>
      <b/>
      <sz val="11"/>
      <color theme="1"/>
      <name val="Arial"/>
      <family val="2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1"/>
      <color theme="1"/>
      <name val="Calibri"/>
      <family val="2"/>
    </font>
    <font>
      <sz val="10"/>
      <color theme="1"/>
      <name val="Arial"/>
      <family val="2"/>
    </font>
    <font>
      <sz val="11"/>
      <color theme="1"/>
      <name val="Times New Roman"/>
      <family val="1"/>
    </font>
    <font>
      <b/>
      <sz val="10"/>
      <color theme="1"/>
      <name val="Arial"/>
      <family val="2"/>
    </font>
    <font>
      <sz val="8"/>
      <name val="Arial"/>
      <family val="2"/>
      <scheme val="minor"/>
    </font>
    <font>
      <sz val="10"/>
      <color rgb="FF00000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2" borderId="0" xfId="0" applyFont="1" applyFill="1" applyAlignment="1">
      <alignment horizontal="center"/>
    </xf>
    <xf numFmtId="0" fontId="5" fillId="3" borderId="0" xfId="0" applyFont="1" applyFill="1"/>
    <xf numFmtId="164" fontId="0" fillId="0" borderId="0" xfId="0" applyNumberFormat="1"/>
    <xf numFmtId="0" fontId="9" fillId="0" borderId="0" xfId="0" applyFont="1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165" fontId="0" fillId="0" borderId="0" xfId="0" applyNumberFormat="1" applyAlignment="1">
      <alignment horizontal="left"/>
    </xf>
    <xf numFmtId="165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14" fontId="0" fillId="0" borderId="0" xfId="0" applyNumberFormat="1"/>
    <xf numFmtId="0" fontId="0" fillId="0" borderId="0" xfId="0"/>
  </cellXfs>
  <cellStyles count="1">
    <cellStyle name="Normal" xfId="0" builtinId="0"/>
  </cellStyles>
  <dxfs count="10">
    <dxf>
      <numFmt numFmtId="19" formatCode="dd/mm/yyyy"/>
    </dxf>
    <dxf>
      <fill>
        <patternFill>
          <bgColor theme="8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alignment horizontal="left" vertical="bottom" textRotation="0" wrapText="0" indent="0" justifyLastLine="0" shrinkToFit="0" readingOrder="0"/>
    </dxf>
    <dxf>
      <numFmt numFmtId="165" formatCode="[$$-409]#,##0.00"/>
      <alignment horizontal="right" vertical="bottom" textRotation="0" wrapText="0" indent="0" justifyLastLine="0" shrinkToFit="0" readingOrder="0"/>
    </dxf>
    <dxf>
      <numFmt numFmtId="164" formatCode="&quot;₹&quot;\ #,##0.00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9837551-4022-4EC0-A427-9D18EE8B80B8}" name="Dataset__3" displayName="Dataset__3" ref="A1:I32" totalsRowShown="0">
  <autoFilter ref="A1:I32" xr:uid="{B9837551-4022-4EC0-A427-9D18EE8B80B8}"/>
  <tableColumns count="9">
    <tableColumn id="1" xr3:uid="{4674A636-20F3-407A-8219-A1538D871B9F}" name="Product ID" dataDxfId="3"/>
    <tableColumn id="9" xr3:uid="{74B2282C-A616-4163-95B4-8452D11FB972}" name="Manufacturing Date" dataDxfId="0">
      <calculatedColumnFormula>LEFT(Dataset__3[[#This Row],[Product ID]],11)</calculatedColumnFormula>
    </tableColumn>
    <tableColumn id="10" xr3:uid="{3A7589D7-7B3D-4AE6-AEB7-565061CEB237}" name="Country Code" dataDxfId="2">
      <calculatedColumnFormula>RIGHT(Dataset__3[[#This Row],[Product ID]],2)</calculatedColumnFormula>
    </tableColumn>
    <tableColumn id="2" xr3:uid="{5DE2029E-2A26-4D9E-B769-4AF03919CB15}" name="Product Name" dataDxfId="9"/>
    <tableColumn id="3" xr3:uid="{4C748A91-8056-4C9F-882F-8841113554DF}" name="Brand Name" dataDxfId="8"/>
    <tableColumn id="11" xr3:uid="{B4DDDE03-745C-4E8E-BA35-DA78FD4ABA1A}" name="Product Brand" dataDxfId="7">
      <calculatedColumnFormula>CONCATENATE(Dataset__3[[#This Row],[Product Name]]," ",Dataset__3[[#This Row],[Brand Name]])</calculatedColumnFormula>
    </tableColumn>
    <tableColumn id="4" xr3:uid="{E3026D38-9613-4273-A435-9271BF9E9C52}" name="Price ($)" dataDxfId="6"/>
    <tableColumn id="5" xr3:uid="{F051F9C9-E6E1-4EF7-ABF6-4FF53A6480C6}" name="Quantity" dataDxfId="5"/>
    <tableColumn id="6" xr3:uid="{68A4FF44-24C4-4AF4-B4FD-F6A77E00C849}" name="Category" dataDxfId="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1000"/>
  <sheetViews>
    <sheetView showGridLines="0" workbookViewId="0">
      <selection activeCell="C5" sqref="C5:K5"/>
    </sheetView>
  </sheetViews>
  <sheetFormatPr defaultColWidth="12.6640625" defaultRowHeight="15" customHeight="1" x14ac:dyDescent="0.25"/>
  <cols>
    <col min="1" max="1" width="12.6640625" customWidth="1"/>
    <col min="2" max="2" width="7.44140625" customWidth="1"/>
    <col min="3" max="6" width="12.6640625" customWidth="1"/>
  </cols>
  <sheetData>
    <row r="1" spans="1:11" ht="15.75" customHeight="1" x14ac:dyDescent="0.25">
      <c r="A1" s="1" t="s">
        <v>0</v>
      </c>
    </row>
    <row r="2" spans="1:11" ht="15.75" customHeight="1" x14ac:dyDescent="0.25"/>
    <row r="3" spans="1:11" ht="15.75" customHeight="1" x14ac:dyDescent="0.3">
      <c r="B3" s="2" t="s">
        <v>1</v>
      </c>
    </row>
    <row r="4" spans="1:11" ht="15.75" customHeight="1" x14ac:dyDescent="0.3">
      <c r="C4" s="3" t="s">
        <v>2</v>
      </c>
    </row>
    <row r="5" spans="1:11" ht="15.75" customHeight="1" x14ac:dyDescent="0.3">
      <c r="B5" s="4"/>
      <c r="C5" s="3" t="s">
        <v>3</v>
      </c>
    </row>
    <row r="6" spans="1:11" ht="15.75" customHeight="1" x14ac:dyDescent="0.3">
      <c r="B6" s="4"/>
    </row>
    <row r="7" spans="1:11" ht="15.75" customHeight="1" x14ac:dyDescent="0.3">
      <c r="B7" s="2" t="s">
        <v>4</v>
      </c>
    </row>
    <row r="8" spans="1:11" ht="15.75" customHeight="1" x14ac:dyDescent="0.3">
      <c r="C8" s="3" t="s">
        <v>5</v>
      </c>
    </row>
    <row r="9" spans="1:11" ht="15.75" customHeight="1" x14ac:dyDescent="0.3">
      <c r="C9" s="3" t="s">
        <v>6</v>
      </c>
    </row>
    <row r="10" spans="1:11" ht="15.75" customHeight="1" x14ac:dyDescent="0.3">
      <c r="C10" s="3" t="s">
        <v>7</v>
      </c>
    </row>
    <row r="11" spans="1:11" ht="15.75" customHeight="1" x14ac:dyDescent="0.3">
      <c r="B11" s="4"/>
    </row>
    <row r="12" spans="1:11" ht="15.75" customHeight="1" x14ac:dyDescent="0.3">
      <c r="B12" s="2" t="s">
        <v>8</v>
      </c>
    </row>
    <row r="13" spans="1:11" ht="15.75" customHeight="1" x14ac:dyDescent="0.3">
      <c r="B13" s="2"/>
      <c r="C13" s="3" t="s">
        <v>9</v>
      </c>
    </row>
    <row r="14" spans="1:11" ht="15.75" customHeight="1" x14ac:dyDescent="0.25"/>
    <row r="15" spans="1:11" ht="15.75" customHeight="1" x14ac:dyDescent="0.3">
      <c r="B15" s="2" t="s">
        <v>10</v>
      </c>
      <c r="C15" s="5"/>
      <c r="D15" s="5"/>
      <c r="E15" s="5"/>
      <c r="F15" s="5"/>
      <c r="G15" s="5"/>
      <c r="H15" s="5"/>
      <c r="I15" s="5"/>
      <c r="J15" s="5"/>
      <c r="K15" s="5"/>
    </row>
    <row r="16" spans="1:11" ht="15.75" customHeight="1" x14ac:dyDescent="0.3">
      <c r="B16" s="5"/>
      <c r="C16" s="3" t="s">
        <v>11</v>
      </c>
      <c r="D16" s="5"/>
      <c r="E16" s="5"/>
      <c r="F16" s="5"/>
      <c r="G16" s="5"/>
      <c r="H16" s="5"/>
      <c r="I16" s="5"/>
      <c r="J16" s="5"/>
      <c r="K16" s="5"/>
    </row>
    <row r="17" spans="2:11" ht="15.75" customHeight="1" x14ac:dyDescent="0.3">
      <c r="B17" s="5"/>
      <c r="C17" s="3" t="s">
        <v>12</v>
      </c>
      <c r="D17" s="5"/>
      <c r="E17" s="5"/>
      <c r="F17" s="5"/>
      <c r="G17" s="5"/>
      <c r="H17" s="5"/>
      <c r="I17" s="5"/>
      <c r="J17" s="5"/>
      <c r="K17" s="5"/>
    </row>
    <row r="18" spans="2:11" ht="15.75" customHeight="1" x14ac:dyDescent="0.25">
      <c r="B18" s="5"/>
      <c r="C18" s="5"/>
      <c r="D18" s="5"/>
      <c r="E18" s="5"/>
      <c r="F18" s="5"/>
      <c r="G18" s="5"/>
      <c r="H18" s="5"/>
      <c r="I18" s="5"/>
      <c r="J18" s="5"/>
      <c r="K18" s="5"/>
    </row>
    <row r="19" spans="2:11" ht="15.75" customHeight="1" x14ac:dyDescent="0.3">
      <c r="B19" s="2" t="s">
        <v>13</v>
      </c>
      <c r="C19" s="5"/>
      <c r="D19" s="5"/>
      <c r="E19" s="5"/>
      <c r="F19" s="5"/>
      <c r="G19" s="5"/>
      <c r="H19" s="5"/>
      <c r="I19" s="5"/>
      <c r="J19" s="5"/>
      <c r="K19" s="5"/>
    </row>
    <row r="20" spans="2:11" ht="15.75" customHeight="1" x14ac:dyDescent="0.3">
      <c r="B20" s="5"/>
      <c r="C20" s="3" t="s">
        <v>14</v>
      </c>
      <c r="D20" s="5"/>
      <c r="E20" s="5"/>
      <c r="F20" s="5"/>
      <c r="G20" s="5"/>
      <c r="H20" s="5"/>
      <c r="I20" s="5"/>
      <c r="J20" s="5"/>
      <c r="K20" s="5"/>
    </row>
    <row r="21" spans="2:11" ht="15.75" customHeight="1" x14ac:dyDescent="0.3">
      <c r="B21" s="5"/>
      <c r="C21" s="3" t="s">
        <v>15</v>
      </c>
      <c r="D21" s="5"/>
      <c r="E21" s="5"/>
      <c r="F21" s="5"/>
      <c r="G21" s="5"/>
      <c r="H21" s="5"/>
      <c r="I21" s="5"/>
      <c r="J21" s="5"/>
      <c r="K21" s="5"/>
    </row>
    <row r="22" spans="2:11" ht="15.75" customHeight="1" x14ac:dyDescent="0.25">
      <c r="B22" s="5"/>
      <c r="C22" s="5"/>
      <c r="D22" s="5"/>
      <c r="E22" s="5"/>
      <c r="F22" s="5"/>
      <c r="G22" s="5"/>
      <c r="H22" s="5"/>
      <c r="I22" s="5"/>
      <c r="J22" s="5"/>
      <c r="K22" s="5"/>
    </row>
    <row r="23" spans="2:11" ht="15.75" customHeight="1" x14ac:dyDescent="0.3">
      <c r="B23" s="2" t="s">
        <v>16</v>
      </c>
      <c r="C23" s="5"/>
      <c r="D23" s="5"/>
      <c r="E23" s="5"/>
      <c r="F23" s="5"/>
      <c r="G23" s="5"/>
      <c r="H23" s="5"/>
      <c r="I23" s="5"/>
      <c r="J23" s="5"/>
      <c r="K23" s="5"/>
    </row>
    <row r="24" spans="2:11" ht="15.75" customHeight="1" x14ac:dyDescent="0.3">
      <c r="B24" s="5"/>
      <c r="C24" s="3" t="s">
        <v>17</v>
      </c>
      <c r="D24" s="5"/>
      <c r="E24" s="5"/>
      <c r="F24" s="5"/>
      <c r="G24" s="5"/>
      <c r="H24" s="5"/>
      <c r="I24" s="5"/>
      <c r="J24" s="5"/>
      <c r="K24" s="5"/>
    </row>
    <row r="25" spans="2:11" ht="15.75" customHeight="1" x14ac:dyDescent="0.3">
      <c r="B25" s="5"/>
      <c r="C25" s="3" t="s">
        <v>18</v>
      </c>
      <c r="D25" s="5"/>
      <c r="E25" s="5"/>
      <c r="F25" s="5"/>
      <c r="G25" s="5"/>
      <c r="H25" s="5"/>
      <c r="I25" s="5"/>
      <c r="J25" s="5"/>
      <c r="K25" s="5"/>
    </row>
    <row r="26" spans="2:11" ht="15.75" customHeight="1" x14ac:dyDescent="0.3">
      <c r="B26" s="5"/>
      <c r="C26" s="3"/>
      <c r="D26" s="5"/>
      <c r="E26" s="5"/>
      <c r="F26" s="5"/>
      <c r="G26" s="5"/>
      <c r="H26" s="5"/>
      <c r="I26" s="5"/>
      <c r="J26" s="5"/>
      <c r="K26" s="5"/>
    </row>
    <row r="27" spans="2:11" ht="15.75" customHeight="1" x14ac:dyDescent="0.25">
      <c r="B27" s="5"/>
      <c r="C27" s="5"/>
      <c r="D27" s="6"/>
      <c r="E27" s="5"/>
      <c r="F27" s="5"/>
      <c r="G27" s="5"/>
      <c r="H27" s="5"/>
      <c r="I27" s="5"/>
      <c r="J27" s="5"/>
      <c r="K27" s="5"/>
    </row>
    <row r="28" spans="2:11" ht="15.75" customHeight="1" x14ac:dyDescent="0.25"/>
    <row r="29" spans="2:11" ht="15.75" customHeight="1" x14ac:dyDescent="0.25"/>
    <row r="30" spans="2:11" ht="15.75" customHeight="1" x14ac:dyDescent="0.25"/>
    <row r="31" spans="2:11" ht="15.75" customHeight="1" x14ac:dyDescent="0.25"/>
    <row r="32" spans="2:11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P1000"/>
  <sheetViews>
    <sheetView workbookViewId="0">
      <selection activeCell="H14" sqref="H14"/>
    </sheetView>
  </sheetViews>
  <sheetFormatPr defaultColWidth="12.6640625" defaultRowHeight="15" customHeight="1" x14ac:dyDescent="0.25"/>
  <cols>
    <col min="1" max="6" width="12.6640625" customWidth="1"/>
  </cols>
  <sheetData>
    <row r="1" spans="1:16" ht="15.75" customHeight="1" x14ac:dyDescent="0.25">
      <c r="A1" s="7" t="s">
        <v>19</v>
      </c>
      <c r="B1" s="7" t="s">
        <v>20</v>
      </c>
      <c r="C1" s="7" t="s">
        <v>21</v>
      </c>
      <c r="D1" s="7" t="s">
        <v>22</v>
      </c>
      <c r="E1" s="7" t="s">
        <v>23</v>
      </c>
      <c r="F1" s="7" t="s">
        <v>24</v>
      </c>
    </row>
    <row r="2" spans="1:16" ht="15.75" customHeight="1" x14ac:dyDescent="0.25">
      <c r="A2" s="5" t="s">
        <v>25</v>
      </c>
      <c r="B2" s="5" t="s">
        <v>26</v>
      </c>
      <c r="C2" s="5" t="s">
        <v>27</v>
      </c>
      <c r="D2" s="5">
        <v>1000</v>
      </c>
      <c r="E2" s="5">
        <v>30</v>
      </c>
      <c r="F2" s="5" t="s">
        <v>28</v>
      </c>
    </row>
    <row r="3" spans="1:16" ht="15.75" customHeight="1" x14ac:dyDescent="0.3">
      <c r="A3" s="8" t="s">
        <v>29</v>
      </c>
      <c r="B3" s="8" t="s">
        <v>30</v>
      </c>
      <c r="C3" s="8" t="s">
        <v>31</v>
      </c>
      <c r="D3" s="8">
        <v>80</v>
      </c>
      <c r="E3" s="8">
        <v>15</v>
      </c>
      <c r="F3" s="8" t="s">
        <v>32</v>
      </c>
      <c r="I3" s="2"/>
      <c r="J3" s="5"/>
      <c r="K3" s="5"/>
      <c r="L3" s="5"/>
      <c r="M3" s="5"/>
      <c r="N3" s="5"/>
      <c r="O3" s="5"/>
      <c r="P3" s="5"/>
    </row>
    <row r="4" spans="1:16" ht="15.75" customHeight="1" x14ac:dyDescent="0.3">
      <c r="A4" s="5" t="s">
        <v>33</v>
      </c>
      <c r="B4" s="5" t="s">
        <v>34</v>
      </c>
      <c r="C4" s="5" t="s">
        <v>35</v>
      </c>
      <c r="D4" s="5">
        <v>130</v>
      </c>
      <c r="E4" s="5">
        <v>40</v>
      </c>
      <c r="F4" s="5" t="s">
        <v>36</v>
      </c>
      <c r="I4" s="5"/>
      <c r="J4" s="3"/>
      <c r="K4" s="5"/>
      <c r="L4" s="5"/>
      <c r="M4" s="5"/>
      <c r="N4" s="5"/>
      <c r="O4" s="5"/>
      <c r="P4" s="5"/>
    </row>
    <row r="5" spans="1:16" ht="15.75" customHeight="1" x14ac:dyDescent="0.3">
      <c r="A5" s="8" t="s">
        <v>37</v>
      </c>
      <c r="B5" s="8" t="s">
        <v>38</v>
      </c>
      <c r="C5" s="8" t="s">
        <v>39</v>
      </c>
      <c r="D5" s="8">
        <v>900</v>
      </c>
      <c r="E5" s="8">
        <v>25</v>
      </c>
      <c r="F5" s="8" t="s">
        <v>28</v>
      </c>
      <c r="I5" s="5"/>
      <c r="J5" s="3"/>
      <c r="K5" s="5"/>
      <c r="L5" s="5"/>
      <c r="M5" s="5"/>
      <c r="N5" s="5"/>
      <c r="O5" s="5"/>
      <c r="P5" s="5"/>
    </row>
    <row r="6" spans="1:16" ht="15.75" customHeight="1" x14ac:dyDescent="0.25">
      <c r="A6" s="5" t="s">
        <v>40</v>
      </c>
      <c r="B6" s="5" t="s">
        <v>41</v>
      </c>
      <c r="C6" s="5" t="s">
        <v>42</v>
      </c>
      <c r="D6" s="5">
        <v>70</v>
      </c>
      <c r="E6" s="5">
        <v>20</v>
      </c>
      <c r="F6" s="5"/>
    </row>
    <row r="7" spans="1:16" ht="15.75" customHeight="1" x14ac:dyDescent="0.25">
      <c r="A7" s="8" t="s">
        <v>43</v>
      </c>
      <c r="B7" s="8" t="s">
        <v>44</v>
      </c>
      <c r="C7" s="8" t="s">
        <v>45</v>
      </c>
      <c r="D7" s="8"/>
      <c r="E7" s="8">
        <v>45</v>
      </c>
      <c r="F7" s="8" t="s">
        <v>46</v>
      </c>
    </row>
    <row r="8" spans="1:16" ht="15.75" customHeight="1" x14ac:dyDescent="0.25">
      <c r="A8" s="5" t="s">
        <v>47</v>
      </c>
      <c r="B8" s="5" t="s">
        <v>48</v>
      </c>
      <c r="C8" s="5" t="s">
        <v>49</v>
      </c>
      <c r="D8" s="5">
        <v>30</v>
      </c>
      <c r="E8" s="5">
        <v>5</v>
      </c>
      <c r="F8" s="5" t="s">
        <v>32</v>
      </c>
    </row>
    <row r="9" spans="1:16" ht="15.75" customHeight="1" x14ac:dyDescent="0.25">
      <c r="A9" s="8" t="s">
        <v>50</v>
      </c>
      <c r="B9" s="8" t="s">
        <v>51</v>
      </c>
      <c r="C9" s="8" t="s">
        <v>52</v>
      </c>
      <c r="D9" s="8">
        <v>90</v>
      </c>
      <c r="E9" s="8">
        <v>35</v>
      </c>
      <c r="F9" s="8" t="s">
        <v>36</v>
      </c>
    </row>
    <row r="10" spans="1:16" ht="15.75" customHeight="1" x14ac:dyDescent="0.25">
      <c r="A10" s="5" t="s">
        <v>53</v>
      </c>
      <c r="B10" s="5" t="s">
        <v>54</v>
      </c>
      <c r="C10" s="5" t="s">
        <v>55</v>
      </c>
      <c r="D10" s="5">
        <v>500</v>
      </c>
      <c r="E10" s="5">
        <v>50</v>
      </c>
      <c r="F10" s="5" t="s">
        <v>28</v>
      </c>
    </row>
    <row r="11" spans="1:16" ht="15.75" customHeight="1" x14ac:dyDescent="0.25">
      <c r="A11" s="8" t="s">
        <v>56</v>
      </c>
      <c r="B11" s="8" t="s">
        <v>57</v>
      </c>
      <c r="C11" s="8" t="s">
        <v>58</v>
      </c>
      <c r="D11" s="8">
        <v>130</v>
      </c>
      <c r="E11" s="8">
        <v>10</v>
      </c>
      <c r="F11" s="8" t="s">
        <v>59</v>
      </c>
    </row>
    <row r="12" spans="1:16" ht="15.75" customHeight="1" x14ac:dyDescent="0.25">
      <c r="A12" s="5" t="s">
        <v>60</v>
      </c>
      <c r="B12" s="5" t="s">
        <v>61</v>
      </c>
      <c r="C12" s="5" t="s">
        <v>62</v>
      </c>
      <c r="D12" s="5">
        <v>950</v>
      </c>
      <c r="E12" s="5">
        <v>25</v>
      </c>
      <c r="F12" s="5" t="s">
        <v>28</v>
      </c>
    </row>
    <row r="13" spans="1:16" ht="15.75" customHeight="1" x14ac:dyDescent="0.25">
      <c r="A13" s="8" t="s">
        <v>63</v>
      </c>
      <c r="B13" s="8" t="s">
        <v>30</v>
      </c>
      <c r="C13" s="8" t="s">
        <v>49</v>
      </c>
      <c r="D13" s="8">
        <v>90</v>
      </c>
      <c r="E13" s="8">
        <v>40</v>
      </c>
      <c r="F13" s="8"/>
    </row>
    <row r="14" spans="1:16" ht="15.75" customHeight="1" x14ac:dyDescent="0.25">
      <c r="A14" s="5" t="s">
        <v>64</v>
      </c>
      <c r="B14" s="5" t="s">
        <v>34</v>
      </c>
      <c r="C14" s="5" t="s">
        <v>65</v>
      </c>
      <c r="D14" s="5">
        <v>120</v>
      </c>
      <c r="E14" s="5">
        <v>35</v>
      </c>
      <c r="F14" s="5"/>
    </row>
    <row r="15" spans="1:16" ht="15.75" customHeight="1" x14ac:dyDescent="0.25">
      <c r="A15" s="8" t="s">
        <v>66</v>
      </c>
      <c r="B15" s="8" t="s">
        <v>67</v>
      </c>
      <c r="C15" s="8" t="s">
        <v>68</v>
      </c>
      <c r="D15" s="8">
        <v>150</v>
      </c>
      <c r="E15" s="8">
        <v>15</v>
      </c>
      <c r="F15" s="8" t="s">
        <v>46</v>
      </c>
    </row>
    <row r="16" spans="1:16" ht="15.75" customHeight="1" x14ac:dyDescent="0.25">
      <c r="A16" s="5" t="s">
        <v>69</v>
      </c>
      <c r="B16" s="5" t="s">
        <v>70</v>
      </c>
      <c r="C16" s="5" t="s">
        <v>71</v>
      </c>
      <c r="D16" s="5">
        <v>250</v>
      </c>
      <c r="E16" s="5">
        <v>20</v>
      </c>
      <c r="F16" s="5" t="s">
        <v>46</v>
      </c>
    </row>
    <row r="17" spans="1:6" ht="15.75" customHeight="1" x14ac:dyDescent="0.25">
      <c r="A17" s="8" t="s">
        <v>72</v>
      </c>
      <c r="B17" s="8" t="s">
        <v>73</v>
      </c>
      <c r="C17" s="8" t="s">
        <v>74</v>
      </c>
      <c r="D17" s="8">
        <v>50</v>
      </c>
      <c r="E17" s="8">
        <v>35</v>
      </c>
      <c r="F17" s="8" t="s">
        <v>75</v>
      </c>
    </row>
    <row r="18" spans="1:6" ht="15.75" customHeight="1" x14ac:dyDescent="0.25">
      <c r="A18" s="5" t="s">
        <v>76</v>
      </c>
      <c r="B18" s="5" t="s">
        <v>67</v>
      </c>
      <c r="C18" s="5" t="s">
        <v>77</v>
      </c>
      <c r="D18" s="5">
        <v>160</v>
      </c>
      <c r="E18" s="5">
        <v>15</v>
      </c>
      <c r="F18" s="5" t="s">
        <v>46</v>
      </c>
    </row>
    <row r="19" spans="1:6" ht="15.75" customHeight="1" x14ac:dyDescent="0.25">
      <c r="A19" s="8" t="s">
        <v>78</v>
      </c>
      <c r="B19" s="8" t="s">
        <v>26</v>
      </c>
      <c r="C19" s="8" t="s">
        <v>79</v>
      </c>
      <c r="D19" s="8">
        <v>980</v>
      </c>
      <c r="E19" s="8">
        <v>10</v>
      </c>
      <c r="F19" s="8" t="s">
        <v>28</v>
      </c>
    </row>
    <row r="20" spans="1:6" ht="15.75" customHeight="1" x14ac:dyDescent="0.25">
      <c r="A20" s="5" t="s">
        <v>80</v>
      </c>
      <c r="B20" s="5" t="s">
        <v>81</v>
      </c>
      <c r="C20" s="5" t="s">
        <v>82</v>
      </c>
      <c r="D20" s="5">
        <v>150</v>
      </c>
      <c r="E20" s="5">
        <v>15</v>
      </c>
      <c r="F20" s="5" t="s">
        <v>32</v>
      </c>
    </row>
    <row r="21" spans="1:6" ht="15.75" customHeight="1" x14ac:dyDescent="0.25">
      <c r="A21" s="8" t="s">
        <v>83</v>
      </c>
      <c r="B21" s="8" t="s">
        <v>84</v>
      </c>
      <c r="C21" s="8" t="s">
        <v>85</v>
      </c>
      <c r="D21" s="8"/>
      <c r="E21" s="8">
        <v>10</v>
      </c>
      <c r="F21" s="8" t="s">
        <v>59</v>
      </c>
    </row>
    <row r="22" spans="1:6" ht="15.75" customHeight="1" x14ac:dyDescent="0.25">
      <c r="A22" s="5" t="s">
        <v>86</v>
      </c>
      <c r="B22" s="5" t="s">
        <v>87</v>
      </c>
      <c r="C22" s="5" t="s">
        <v>88</v>
      </c>
      <c r="D22" s="5">
        <v>700</v>
      </c>
      <c r="E22" s="5">
        <v>50</v>
      </c>
      <c r="F22" s="5" t="s">
        <v>28</v>
      </c>
    </row>
    <row r="23" spans="1:6" ht="15.75" customHeight="1" x14ac:dyDescent="0.25">
      <c r="A23" s="8" t="s">
        <v>89</v>
      </c>
      <c r="B23" s="8" t="s">
        <v>90</v>
      </c>
      <c r="C23" s="8" t="s">
        <v>91</v>
      </c>
      <c r="D23" s="8">
        <v>80</v>
      </c>
      <c r="E23" s="8">
        <v>20</v>
      </c>
      <c r="F23" s="8" t="s">
        <v>36</v>
      </c>
    </row>
    <row r="24" spans="1:6" ht="15.75" customHeight="1" x14ac:dyDescent="0.25">
      <c r="A24" s="5" t="s">
        <v>92</v>
      </c>
      <c r="B24" s="5" t="s">
        <v>93</v>
      </c>
      <c r="C24" s="5" t="s">
        <v>94</v>
      </c>
      <c r="D24" s="5">
        <v>150</v>
      </c>
      <c r="E24" s="5">
        <v>30</v>
      </c>
      <c r="F24" s="5"/>
    </row>
    <row r="25" spans="1:6" ht="15.75" customHeight="1" x14ac:dyDescent="0.25">
      <c r="A25" s="8" t="s">
        <v>72</v>
      </c>
      <c r="B25" s="8" t="s">
        <v>73</v>
      </c>
      <c r="C25" s="8" t="s">
        <v>74</v>
      </c>
      <c r="D25" s="8">
        <v>50</v>
      </c>
      <c r="E25" s="8">
        <v>35</v>
      </c>
      <c r="F25" s="8" t="s">
        <v>75</v>
      </c>
    </row>
    <row r="26" spans="1:6" ht="15.75" customHeight="1" x14ac:dyDescent="0.25">
      <c r="A26" s="5" t="s">
        <v>95</v>
      </c>
      <c r="B26" s="5" t="s">
        <v>96</v>
      </c>
      <c r="C26" s="5" t="s">
        <v>97</v>
      </c>
      <c r="D26" s="5">
        <v>800</v>
      </c>
      <c r="E26" s="5">
        <v>45</v>
      </c>
      <c r="F26" s="5" t="s">
        <v>28</v>
      </c>
    </row>
    <row r="27" spans="1:6" ht="15.75" customHeight="1" x14ac:dyDescent="0.25">
      <c r="A27" s="8" t="s">
        <v>98</v>
      </c>
      <c r="B27" s="8" t="s">
        <v>81</v>
      </c>
      <c r="C27" s="8" t="s">
        <v>99</v>
      </c>
      <c r="D27" s="8"/>
      <c r="E27" s="8">
        <v>25</v>
      </c>
      <c r="F27" s="8" t="s">
        <v>32</v>
      </c>
    </row>
    <row r="28" spans="1:6" ht="15.75" customHeight="1" x14ac:dyDescent="0.25">
      <c r="A28" s="5" t="s">
        <v>100</v>
      </c>
      <c r="B28" s="5" t="s">
        <v>51</v>
      </c>
      <c r="C28" s="5" t="s">
        <v>101</v>
      </c>
      <c r="D28" s="5">
        <v>400</v>
      </c>
      <c r="E28" s="5">
        <v>40</v>
      </c>
      <c r="F28" s="5" t="s">
        <v>36</v>
      </c>
    </row>
    <row r="29" spans="1:6" ht="15.75" customHeight="1" x14ac:dyDescent="0.25">
      <c r="A29" s="8" t="s">
        <v>69</v>
      </c>
      <c r="B29" s="8" t="s">
        <v>70</v>
      </c>
      <c r="C29" s="8" t="s">
        <v>71</v>
      </c>
      <c r="D29" s="8">
        <v>250</v>
      </c>
      <c r="E29" s="8">
        <v>20</v>
      </c>
      <c r="F29" s="8" t="s">
        <v>46</v>
      </c>
    </row>
    <row r="30" spans="1:6" ht="15.75" customHeight="1" x14ac:dyDescent="0.25">
      <c r="A30" s="5" t="s">
        <v>102</v>
      </c>
      <c r="B30" s="5" t="s">
        <v>103</v>
      </c>
      <c r="C30" s="5" t="s">
        <v>104</v>
      </c>
      <c r="D30" s="5">
        <v>60</v>
      </c>
      <c r="E30" s="5">
        <v>30</v>
      </c>
      <c r="F30" s="5" t="s">
        <v>32</v>
      </c>
    </row>
    <row r="31" spans="1:6" ht="15.75" customHeight="1" x14ac:dyDescent="0.25">
      <c r="A31" s="8" t="s">
        <v>105</v>
      </c>
      <c r="B31" s="8" t="s">
        <v>106</v>
      </c>
      <c r="C31" s="8" t="s">
        <v>107</v>
      </c>
      <c r="D31" s="8">
        <v>40</v>
      </c>
      <c r="E31" s="8">
        <v>10</v>
      </c>
      <c r="F31" s="8" t="s">
        <v>36</v>
      </c>
    </row>
    <row r="32" spans="1:6" ht="15.75" customHeight="1" x14ac:dyDescent="0.25">
      <c r="A32" s="5" t="s">
        <v>108</v>
      </c>
      <c r="B32" s="5" t="s">
        <v>93</v>
      </c>
      <c r="C32" s="5" t="s">
        <v>109</v>
      </c>
      <c r="D32" s="5">
        <v>130</v>
      </c>
      <c r="E32" s="5">
        <v>5</v>
      </c>
      <c r="F32" s="5" t="s">
        <v>28</v>
      </c>
    </row>
    <row r="33" spans="1:6" ht="15.75" customHeight="1" x14ac:dyDescent="0.25">
      <c r="A33" s="8" t="s">
        <v>110</v>
      </c>
      <c r="B33" s="8" t="s">
        <v>111</v>
      </c>
      <c r="C33" s="8" t="s">
        <v>112</v>
      </c>
      <c r="D33" s="8">
        <v>50</v>
      </c>
      <c r="E33" s="8">
        <v>50</v>
      </c>
      <c r="F33" s="8" t="s">
        <v>32</v>
      </c>
    </row>
    <row r="34" spans="1:6" ht="15.75" customHeight="1" x14ac:dyDescent="0.25">
      <c r="A34" s="5" t="s">
        <v>60</v>
      </c>
      <c r="B34" s="5" t="s">
        <v>61</v>
      </c>
      <c r="C34" s="5" t="s">
        <v>62</v>
      </c>
      <c r="D34" s="5">
        <v>950</v>
      </c>
      <c r="E34" s="5">
        <v>25</v>
      </c>
      <c r="F34" s="5" t="s">
        <v>28</v>
      </c>
    </row>
    <row r="35" spans="1:6" ht="15.75" customHeight="1" x14ac:dyDescent="0.25">
      <c r="A35" s="8" t="s">
        <v>113</v>
      </c>
      <c r="B35" s="8" t="s">
        <v>114</v>
      </c>
      <c r="C35" s="8" t="s">
        <v>115</v>
      </c>
      <c r="D35" s="8">
        <v>100</v>
      </c>
      <c r="E35" s="8">
        <v>20</v>
      </c>
      <c r="F35" s="8" t="s">
        <v>75</v>
      </c>
    </row>
    <row r="36" spans="1:6" ht="15.75" customHeight="1" x14ac:dyDescent="0.25"/>
    <row r="37" spans="1:6" ht="15.75" customHeight="1" x14ac:dyDescent="0.25"/>
    <row r="38" spans="1:6" ht="15.75" customHeight="1" x14ac:dyDescent="0.25"/>
    <row r="39" spans="1:6" ht="15.75" customHeight="1" x14ac:dyDescent="0.25"/>
    <row r="40" spans="1:6" ht="15.75" customHeight="1" x14ac:dyDescent="0.25"/>
    <row r="41" spans="1:6" ht="15.75" customHeight="1" x14ac:dyDescent="0.25"/>
    <row r="42" spans="1:6" ht="15.75" customHeight="1" x14ac:dyDescent="0.25"/>
    <row r="43" spans="1:6" ht="15.75" customHeight="1" x14ac:dyDescent="0.25"/>
    <row r="44" spans="1:6" ht="15.75" customHeight="1" x14ac:dyDescent="0.25"/>
    <row r="45" spans="1:6" ht="15.75" customHeight="1" x14ac:dyDescent="0.25"/>
    <row r="46" spans="1:6" ht="15.75" customHeight="1" x14ac:dyDescent="0.25"/>
    <row r="47" spans="1:6" ht="15.75" customHeight="1" x14ac:dyDescent="0.25"/>
    <row r="48" spans="1:6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2921DA-D827-4A56-AD7F-BDD86F032F5E}">
  <dimension ref="A1:I35"/>
  <sheetViews>
    <sheetView tabSelected="1" workbookViewId="0">
      <selection activeCell="L16" sqref="L16"/>
    </sheetView>
  </sheetViews>
  <sheetFormatPr defaultRowHeight="13.2" x14ac:dyDescent="0.25"/>
  <cols>
    <col min="1" max="1" width="19.5546875" customWidth="1"/>
    <col min="2" max="2" width="20.44140625" style="17" bestFit="1" customWidth="1"/>
    <col min="3" max="3" width="15.5546875" bestFit="1" customWidth="1"/>
    <col min="4" max="4" width="25.33203125" customWidth="1"/>
    <col min="5" max="5" width="18.21875" customWidth="1"/>
    <col min="6" max="6" width="21.44140625" style="9" bestFit="1" customWidth="1"/>
    <col min="7" max="7" width="20.77734375" style="14" customWidth="1"/>
    <col min="8" max="8" width="10.6640625" style="11" bestFit="1" customWidth="1"/>
    <col min="9" max="9" width="16.5546875" customWidth="1"/>
  </cols>
  <sheetData>
    <row r="1" spans="1:9" x14ac:dyDescent="0.25">
      <c r="A1" s="12" t="s">
        <v>19</v>
      </c>
      <c r="B1" s="16" t="s">
        <v>118</v>
      </c>
      <c r="C1" t="s">
        <v>119</v>
      </c>
      <c r="D1" t="s">
        <v>20</v>
      </c>
      <c r="E1" t="s">
        <v>21</v>
      </c>
      <c r="F1" s="9" t="s">
        <v>120</v>
      </c>
      <c r="G1" s="13" t="s">
        <v>22</v>
      </c>
      <c r="H1" s="11" t="s">
        <v>23</v>
      </c>
      <c r="I1" t="s">
        <v>24</v>
      </c>
    </row>
    <row r="2" spans="1:9" x14ac:dyDescent="0.25">
      <c r="A2" s="10" t="s">
        <v>121</v>
      </c>
      <c r="B2" s="16" t="str">
        <f>LEFT(Dataset__3[[#This Row],[Product ID]],11)</f>
        <v>28-JAN-2022</v>
      </c>
      <c r="C2" t="str">
        <f>RIGHT(Dataset__3[[#This Row],[Product ID]],2)</f>
        <v>US</v>
      </c>
      <c r="D2" t="s">
        <v>61</v>
      </c>
      <c r="E2" t="s">
        <v>27</v>
      </c>
      <c r="F2" s="9" t="str">
        <f>CONCATENATE(Dataset__3[[#This Row],[Product Name]]," ",Dataset__3[[#This Row],[Brand Name]])</f>
        <v>Laptop Dell</v>
      </c>
      <c r="G2" s="14">
        <v>1000</v>
      </c>
      <c r="H2" s="11">
        <v>30</v>
      </c>
      <c r="I2" t="s">
        <v>28</v>
      </c>
    </row>
    <row r="3" spans="1:9" x14ac:dyDescent="0.25">
      <c r="A3" t="s">
        <v>122</v>
      </c>
      <c r="B3" s="16" t="str">
        <f>LEFT(Dataset__3[[#This Row],[Product ID]],11)</f>
        <v>15-FEB-2022</v>
      </c>
      <c r="C3" t="str">
        <f>RIGHT(Dataset__3[[#This Row],[Product ID]],2)</f>
        <v>US</v>
      </c>
      <c r="D3" t="s">
        <v>30</v>
      </c>
      <c r="E3" t="s">
        <v>31</v>
      </c>
      <c r="F3" s="9" t="str">
        <f>CONCATENATE(Dataset__3[[#This Row],[Product Name]]," ",Dataset__3[[#This Row],[Brand Name]])</f>
        <v>Sneakers Nike</v>
      </c>
      <c r="G3" s="14">
        <v>80</v>
      </c>
      <c r="H3" s="11">
        <v>15</v>
      </c>
      <c r="I3" t="s">
        <v>32</v>
      </c>
    </row>
    <row r="4" spans="1:9" x14ac:dyDescent="0.25">
      <c r="A4" t="s">
        <v>123</v>
      </c>
      <c r="B4" s="16" t="str">
        <f>LEFT(Dataset__3[[#This Row],[Product ID]],11)</f>
        <v>03-MAR-2022</v>
      </c>
      <c r="C4" t="str">
        <f>RIGHT(Dataset__3[[#This Row],[Product ID]],2)</f>
        <v>US</v>
      </c>
      <c r="D4" t="s">
        <v>34</v>
      </c>
      <c r="E4" t="s">
        <v>35</v>
      </c>
      <c r="F4" s="9" t="str">
        <f>CONCATENATE(Dataset__3[[#This Row],[Product Name]]," ",Dataset__3[[#This Row],[Brand Name]])</f>
        <v>Coffee Maker Keurig</v>
      </c>
      <c r="G4" s="14">
        <v>130</v>
      </c>
      <c r="H4" s="11">
        <v>40</v>
      </c>
      <c r="I4" t="s">
        <v>36</v>
      </c>
    </row>
    <row r="5" spans="1:9" x14ac:dyDescent="0.25">
      <c r="A5" t="s">
        <v>124</v>
      </c>
      <c r="B5" s="16" t="str">
        <f>LEFT(Dataset__3[[#This Row],[Product ID]],11)</f>
        <v>11-APR-2022</v>
      </c>
      <c r="C5" t="str">
        <f>RIGHT(Dataset__3[[#This Row],[Product ID]],2)</f>
        <v>US</v>
      </c>
      <c r="D5" t="s">
        <v>96</v>
      </c>
      <c r="E5" t="s">
        <v>39</v>
      </c>
      <c r="F5" s="9" t="str">
        <f>CONCATENATE(Dataset__3[[#This Row],[Product Name]]," ",Dataset__3[[#This Row],[Brand Name]])</f>
        <v>Smartphone Samsung</v>
      </c>
      <c r="G5" s="14">
        <v>900</v>
      </c>
      <c r="H5" s="11">
        <v>25</v>
      </c>
      <c r="I5" t="s">
        <v>28</v>
      </c>
    </row>
    <row r="6" spans="1:9" x14ac:dyDescent="0.25">
      <c r="A6" t="s">
        <v>125</v>
      </c>
      <c r="B6" s="16" t="str">
        <f>LEFT(Dataset__3[[#This Row],[Product ID]],11)</f>
        <v>22-MAY-2022</v>
      </c>
      <c r="C6" t="str">
        <f>RIGHT(Dataset__3[[#This Row],[Product ID]],2)</f>
        <v>US</v>
      </c>
      <c r="D6" t="s">
        <v>41</v>
      </c>
      <c r="E6" t="s">
        <v>42</v>
      </c>
      <c r="F6" s="9" t="str">
        <f>CONCATENATE(Dataset__3[[#This Row],[Product Name]]," ",Dataset__3[[#This Row],[Brand Name]])</f>
        <v>Backpack North Face</v>
      </c>
      <c r="G6" s="14">
        <v>70</v>
      </c>
      <c r="H6" s="11">
        <v>20</v>
      </c>
      <c r="I6" t="s">
        <v>59</v>
      </c>
    </row>
    <row r="7" spans="1:9" x14ac:dyDescent="0.25">
      <c r="A7" t="s">
        <v>126</v>
      </c>
      <c r="B7" s="16" t="str">
        <f>LEFT(Dataset__3[[#This Row],[Product ID]],11)</f>
        <v>07-JUN-2022</v>
      </c>
      <c r="C7" t="str">
        <f>RIGHT(Dataset__3[[#This Row],[Product ID]],2)</f>
        <v>UK</v>
      </c>
      <c r="D7" t="s">
        <v>44</v>
      </c>
      <c r="E7" t="s">
        <v>45</v>
      </c>
      <c r="F7" s="9" t="str">
        <f>CONCATENATE(Dataset__3[[#This Row],[Product Name]]," ",Dataset__3[[#This Row],[Brand Name]])</f>
        <v>Headphones Sony</v>
      </c>
      <c r="G7" s="14">
        <v>130</v>
      </c>
      <c r="H7" s="11">
        <v>45</v>
      </c>
      <c r="I7" t="s">
        <v>28</v>
      </c>
    </row>
    <row r="8" spans="1:9" x14ac:dyDescent="0.25">
      <c r="A8" t="s">
        <v>127</v>
      </c>
      <c r="B8" s="16" t="str">
        <f>LEFT(Dataset__3[[#This Row],[Product ID]],11)</f>
        <v>19-JUL-2022</v>
      </c>
      <c r="C8" t="str">
        <f>RIGHT(Dataset__3[[#This Row],[Product ID]],2)</f>
        <v>UK</v>
      </c>
      <c r="D8" t="s">
        <v>116</v>
      </c>
      <c r="E8" t="s">
        <v>49</v>
      </c>
      <c r="F8" s="9" t="str">
        <f>CONCATENATE(Dataset__3[[#This Row],[Product Name]]," ",Dataset__3[[#This Row],[Brand Name]])</f>
        <v>T-Shirt Adidas</v>
      </c>
      <c r="G8" s="14">
        <v>30</v>
      </c>
      <c r="H8" s="11">
        <v>5</v>
      </c>
      <c r="I8" t="s">
        <v>32</v>
      </c>
    </row>
    <row r="9" spans="1:9" x14ac:dyDescent="0.25">
      <c r="A9" t="s">
        <v>128</v>
      </c>
      <c r="B9" s="16" t="str">
        <f>LEFT(Dataset__3[[#This Row],[Product ID]],11)</f>
        <v>23-AUG-2022</v>
      </c>
      <c r="C9" t="str">
        <f>RIGHT(Dataset__3[[#This Row],[Product ID]],2)</f>
        <v>UK</v>
      </c>
      <c r="D9" t="s">
        <v>51</v>
      </c>
      <c r="E9" t="s">
        <v>52</v>
      </c>
      <c r="F9" s="9" t="str">
        <f>CONCATENATE(Dataset__3[[#This Row],[Product Name]]," ",Dataset__3[[#This Row],[Brand Name]])</f>
        <v>Blender Ninja</v>
      </c>
      <c r="G9" s="14">
        <v>90</v>
      </c>
      <c r="H9" s="11">
        <v>35</v>
      </c>
      <c r="I9" t="s">
        <v>36</v>
      </c>
    </row>
    <row r="10" spans="1:9" x14ac:dyDescent="0.25">
      <c r="A10" t="s">
        <v>129</v>
      </c>
      <c r="B10" s="16" t="str">
        <f>LEFT(Dataset__3[[#This Row],[Product ID]],11)</f>
        <v>05-SEP-2022</v>
      </c>
      <c r="C10" t="str">
        <f>RIGHT(Dataset__3[[#This Row],[Product ID]],2)</f>
        <v>UK</v>
      </c>
      <c r="D10" t="s">
        <v>54</v>
      </c>
      <c r="E10" t="s">
        <v>55</v>
      </c>
      <c r="F10" s="9" t="str">
        <f>CONCATENATE(Dataset__3[[#This Row],[Product Name]]," ",Dataset__3[[#This Row],[Brand Name]])</f>
        <v>Tablet Apple</v>
      </c>
      <c r="G10" s="14">
        <v>500</v>
      </c>
      <c r="H10" s="11">
        <v>50</v>
      </c>
      <c r="I10" t="s">
        <v>28</v>
      </c>
    </row>
    <row r="11" spans="1:9" x14ac:dyDescent="0.25">
      <c r="A11" t="s">
        <v>130</v>
      </c>
      <c r="B11" s="16" t="str">
        <f>LEFT(Dataset__3[[#This Row],[Product ID]],11)</f>
        <v>14-OCT-2022</v>
      </c>
      <c r="C11" t="str">
        <f>RIGHT(Dataset__3[[#This Row],[Product ID]],2)</f>
        <v>UK</v>
      </c>
      <c r="D11" t="s">
        <v>57</v>
      </c>
      <c r="E11" t="s">
        <v>58</v>
      </c>
      <c r="F11" s="9" t="str">
        <f>CONCATENATE(Dataset__3[[#This Row],[Product Name]]," ",Dataset__3[[#This Row],[Brand Name]])</f>
        <v>Hiking Boots Timberland</v>
      </c>
      <c r="G11" s="14">
        <v>130</v>
      </c>
      <c r="H11" s="11">
        <v>10</v>
      </c>
      <c r="I11" t="s">
        <v>59</v>
      </c>
    </row>
    <row r="12" spans="1:9" x14ac:dyDescent="0.25">
      <c r="A12" t="s">
        <v>131</v>
      </c>
      <c r="B12" s="16" t="str">
        <f>LEFT(Dataset__3[[#This Row],[Product ID]],11)</f>
        <v>17-JUN-2022</v>
      </c>
      <c r="C12" t="str">
        <f>RIGHT(Dataset__3[[#This Row],[Product ID]],2)</f>
        <v>IN</v>
      </c>
      <c r="D12" t="s">
        <v>61</v>
      </c>
      <c r="E12" t="s">
        <v>62</v>
      </c>
      <c r="F12" s="9" t="str">
        <f>CONCATENATE(Dataset__3[[#This Row],[Product Name]]," ",Dataset__3[[#This Row],[Brand Name]])</f>
        <v>Laptop HP</v>
      </c>
      <c r="G12" s="14">
        <v>950</v>
      </c>
      <c r="H12" s="11">
        <v>25</v>
      </c>
      <c r="I12" t="s">
        <v>28</v>
      </c>
    </row>
    <row r="13" spans="1:9" x14ac:dyDescent="0.25">
      <c r="A13" t="s">
        <v>132</v>
      </c>
      <c r="B13" s="16" t="str">
        <f>LEFT(Dataset__3[[#This Row],[Product ID]],11)</f>
        <v>25-NOV-2022</v>
      </c>
      <c r="C13" t="str">
        <f>RIGHT(Dataset__3[[#This Row],[Product ID]],2)</f>
        <v>AU</v>
      </c>
      <c r="D13" t="s">
        <v>30</v>
      </c>
      <c r="E13" t="s">
        <v>49</v>
      </c>
      <c r="F13" s="9" t="str">
        <f>CONCATENATE(Dataset__3[[#This Row],[Product Name]]," ",Dataset__3[[#This Row],[Brand Name]])</f>
        <v>Sneakers Adidas</v>
      </c>
      <c r="G13" s="14">
        <v>90</v>
      </c>
      <c r="H13" s="11">
        <v>40</v>
      </c>
      <c r="I13" t="s">
        <v>32</v>
      </c>
    </row>
    <row r="14" spans="1:9" x14ac:dyDescent="0.25">
      <c r="A14" t="s">
        <v>133</v>
      </c>
      <c r="B14" s="16" t="str">
        <f>LEFT(Dataset__3[[#This Row],[Product ID]],11)</f>
        <v>08-DEC-2022</v>
      </c>
      <c r="C14" t="str">
        <f>RIGHT(Dataset__3[[#This Row],[Product ID]],2)</f>
        <v>DE</v>
      </c>
      <c r="D14" t="s">
        <v>34</v>
      </c>
      <c r="E14" t="s">
        <v>65</v>
      </c>
      <c r="F14" s="9" t="str">
        <f>CONCATENATE(Dataset__3[[#This Row],[Product Name]]," ",Dataset__3[[#This Row],[Brand Name]])</f>
        <v>Coffee Maker Nespresso</v>
      </c>
      <c r="G14" s="14">
        <v>120</v>
      </c>
      <c r="H14" s="11">
        <v>35</v>
      </c>
      <c r="I14" s="10" t="s">
        <v>36</v>
      </c>
    </row>
    <row r="15" spans="1:9" x14ac:dyDescent="0.25">
      <c r="A15" t="s">
        <v>134</v>
      </c>
      <c r="B15" s="16" t="str">
        <f>LEFT(Dataset__3[[#This Row],[Product ID]],11)</f>
        <v>18-FEB-2022</v>
      </c>
      <c r="C15" t="str">
        <f>RIGHT(Dataset__3[[#This Row],[Product ID]],2)</f>
        <v>CA</v>
      </c>
      <c r="D15" t="s">
        <v>67</v>
      </c>
      <c r="E15" t="s">
        <v>68</v>
      </c>
      <c r="F15" s="9" t="str">
        <f>CONCATENATE(Dataset__3[[#This Row],[Product Name]]," ",Dataset__3[[#This Row],[Brand Name]])</f>
        <v>Smartwatch Fitbit</v>
      </c>
      <c r="G15" s="14">
        <v>150</v>
      </c>
      <c r="H15" s="11">
        <v>15</v>
      </c>
      <c r="I15" t="s">
        <v>28</v>
      </c>
    </row>
    <row r="16" spans="1:9" x14ac:dyDescent="0.25">
      <c r="A16" t="s">
        <v>135</v>
      </c>
      <c r="B16" s="16" t="str">
        <f>LEFT(Dataset__3[[#This Row],[Product ID]],11)</f>
        <v>16-APR-2022</v>
      </c>
      <c r="C16" t="str">
        <f>RIGHT(Dataset__3[[#This Row],[Product ID]],2)</f>
        <v>ES</v>
      </c>
      <c r="D16" t="s">
        <v>44</v>
      </c>
      <c r="E16" t="s">
        <v>71</v>
      </c>
      <c r="F16" s="9" t="str">
        <f>CONCATENATE(Dataset__3[[#This Row],[Product Name]]," ",Dataset__3[[#This Row],[Brand Name]])</f>
        <v>Headphones Bose</v>
      </c>
      <c r="G16" s="14">
        <v>250</v>
      </c>
      <c r="H16" s="11">
        <v>20</v>
      </c>
      <c r="I16" t="s">
        <v>28</v>
      </c>
    </row>
    <row r="17" spans="1:9" x14ac:dyDescent="0.25">
      <c r="A17" t="s">
        <v>136</v>
      </c>
      <c r="B17" s="16" t="str">
        <f>LEFT(Dataset__3[[#This Row],[Product ID]],11)</f>
        <v>21-AUG-2022</v>
      </c>
      <c r="C17" t="str">
        <f>RIGHT(Dataset__3[[#This Row],[Product ID]],2)</f>
        <v>CA</v>
      </c>
      <c r="D17" t="s">
        <v>73</v>
      </c>
      <c r="E17" t="s">
        <v>74</v>
      </c>
      <c r="F17" s="9" t="str">
        <f>CONCATENATE(Dataset__3[[#This Row],[Product Name]]," ",Dataset__3[[#This Row],[Brand Name]])</f>
        <v>Laptop Bag Samsonite</v>
      </c>
      <c r="G17" s="14">
        <v>50</v>
      </c>
      <c r="H17" s="11">
        <v>35</v>
      </c>
      <c r="I17" t="s">
        <v>75</v>
      </c>
    </row>
    <row r="18" spans="1:9" x14ac:dyDescent="0.25">
      <c r="A18" t="s">
        <v>137</v>
      </c>
      <c r="B18" s="16" t="str">
        <f>LEFT(Dataset__3[[#This Row],[Product ID]],11)</f>
        <v>20-AUG-2022</v>
      </c>
      <c r="C18" t="str">
        <f>RIGHT(Dataset__3[[#This Row],[Product ID]],2)</f>
        <v>CN</v>
      </c>
      <c r="D18" t="s">
        <v>67</v>
      </c>
      <c r="E18" t="s">
        <v>77</v>
      </c>
      <c r="F18" s="9" t="str">
        <f>CONCATENATE(Dataset__3[[#This Row],[Product Name]]," ",Dataset__3[[#This Row],[Brand Name]])</f>
        <v>Smartwatch Huawei</v>
      </c>
      <c r="G18" s="14">
        <v>160</v>
      </c>
      <c r="H18" s="11">
        <v>15</v>
      </c>
      <c r="I18" t="s">
        <v>28</v>
      </c>
    </row>
    <row r="19" spans="1:9" x14ac:dyDescent="0.25">
      <c r="A19" t="s">
        <v>138</v>
      </c>
      <c r="B19" s="16" t="str">
        <f>LEFT(Dataset__3[[#This Row],[Product ID]],11)</f>
        <v>27-JAN-2022</v>
      </c>
      <c r="C19" t="str">
        <f>RIGHT(Dataset__3[[#This Row],[Product ID]],2)</f>
        <v>IT</v>
      </c>
      <c r="D19" t="s">
        <v>61</v>
      </c>
      <c r="E19" t="s">
        <v>79</v>
      </c>
      <c r="F19" s="9" t="str">
        <f>CONCATENATE(Dataset__3[[#This Row],[Product Name]]," ",Dataset__3[[#This Row],[Brand Name]])</f>
        <v>Laptop Asus</v>
      </c>
      <c r="G19" s="14">
        <v>980</v>
      </c>
      <c r="H19" s="11">
        <v>10</v>
      </c>
      <c r="I19" t="s">
        <v>28</v>
      </c>
    </row>
    <row r="20" spans="1:9" x14ac:dyDescent="0.25">
      <c r="A20" t="s">
        <v>139</v>
      </c>
      <c r="B20" s="16" t="str">
        <f>LEFT(Dataset__3[[#This Row],[Product ID]],11)</f>
        <v>01-MAR-2022</v>
      </c>
      <c r="C20" t="str">
        <f>RIGHT(Dataset__3[[#This Row],[Product ID]],2)</f>
        <v>UK</v>
      </c>
      <c r="D20" t="s">
        <v>81</v>
      </c>
      <c r="E20" t="s">
        <v>82</v>
      </c>
      <c r="F20" s="9" t="str">
        <f>CONCATENATE(Dataset__3[[#This Row],[Product Name]]," ",Dataset__3[[#This Row],[Brand Name]])</f>
        <v>Sunglasses Oakley</v>
      </c>
      <c r="G20" s="14">
        <v>150</v>
      </c>
      <c r="H20" s="11">
        <v>15</v>
      </c>
      <c r="I20" t="s">
        <v>32</v>
      </c>
    </row>
    <row r="21" spans="1:9" x14ac:dyDescent="0.25">
      <c r="A21" t="s">
        <v>140</v>
      </c>
      <c r="B21" s="16" t="str">
        <f>LEFT(Dataset__3[[#This Row],[Product ID]],11)</f>
        <v>14-AUG-2022</v>
      </c>
      <c r="C21" t="str">
        <f>RIGHT(Dataset__3[[#This Row],[Product ID]],2)</f>
        <v>US</v>
      </c>
      <c r="D21" t="s">
        <v>84</v>
      </c>
      <c r="E21" t="s">
        <v>85</v>
      </c>
      <c r="F21" s="9" t="str">
        <f>CONCATENATE(Dataset__3[[#This Row],[Product Name]]," ",Dataset__3[[#This Row],[Brand Name]])</f>
        <v>Camping Tent Coleman</v>
      </c>
      <c r="G21" s="14">
        <v>130</v>
      </c>
      <c r="H21" s="11">
        <v>10</v>
      </c>
      <c r="I21" t="s">
        <v>59</v>
      </c>
    </row>
    <row r="22" spans="1:9" x14ac:dyDescent="0.25">
      <c r="A22" t="s">
        <v>141</v>
      </c>
      <c r="B22" s="16" t="str">
        <f>LEFT(Dataset__3[[#This Row],[Product ID]],11)</f>
        <v>14-MAY-2022</v>
      </c>
      <c r="C22" t="str">
        <f>RIGHT(Dataset__3[[#This Row],[Product ID]],2)</f>
        <v>RU</v>
      </c>
      <c r="D22" t="s">
        <v>87</v>
      </c>
      <c r="E22" t="s">
        <v>88</v>
      </c>
      <c r="F22" s="9" t="str">
        <f>CONCATENATE(Dataset__3[[#This Row],[Product Name]]," ",Dataset__3[[#This Row],[Brand Name]])</f>
        <v>Camera Nikon</v>
      </c>
      <c r="G22" s="14">
        <v>700</v>
      </c>
      <c r="H22" s="11">
        <v>50</v>
      </c>
      <c r="I22" t="s">
        <v>28</v>
      </c>
    </row>
    <row r="23" spans="1:9" x14ac:dyDescent="0.25">
      <c r="A23" t="s">
        <v>142</v>
      </c>
      <c r="B23" s="16" t="str">
        <f>LEFT(Dataset__3[[#This Row],[Product ID]],11)</f>
        <v>09-JAN-2022</v>
      </c>
      <c r="C23" t="str">
        <f>RIGHT(Dataset__3[[#This Row],[Product ID]],2)</f>
        <v>CA</v>
      </c>
      <c r="D23" t="s">
        <v>90</v>
      </c>
      <c r="E23" t="s">
        <v>91</v>
      </c>
      <c r="F23" s="9" t="str">
        <f>CONCATENATE(Dataset__3[[#This Row],[Product Name]]," ",Dataset__3[[#This Row],[Brand Name]])</f>
        <v>Microwave Panasonic</v>
      </c>
      <c r="G23" s="14">
        <v>80</v>
      </c>
      <c r="H23" s="11">
        <v>20</v>
      </c>
      <c r="I23" t="s">
        <v>36</v>
      </c>
    </row>
    <row r="24" spans="1:9" x14ac:dyDescent="0.25">
      <c r="A24" t="s">
        <v>143</v>
      </c>
      <c r="B24" s="16" t="str">
        <f>LEFT(Dataset__3[[#This Row],[Product ID]],11)</f>
        <v>19-JUL-2022</v>
      </c>
      <c r="C24" t="str">
        <f>RIGHT(Dataset__3[[#This Row],[Product ID]],2)</f>
        <v>BR</v>
      </c>
      <c r="D24" t="s">
        <v>93</v>
      </c>
      <c r="E24" t="s">
        <v>94</v>
      </c>
      <c r="F24" s="9" t="str">
        <f>CONCATENATE(Dataset__3[[#This Row],[Product Name]]," ",Dataset__3[[#This Row],[Brand Name]])</f>
        <v>Fitness Tracker Xiaomi</v>
      </c>
      <c r="G24" s="14">
        <v>150</v>
      </c>
      <c r="H24" s="11">
        <v>30</v>
      </c>
      <c r="I24" t="s">
        <v>28</v>
      </c>
    </row>
    <row r="25" spans="1:9" x14ac:dyDescent="0.25">
      <c r="A25" t="s">
        <v>144</v>
      </c>
      <c r="B25" s="16" t="str">
        <f>LEFT(Dataset__3[[#This Row],[Product ID]],11)</f>
        <v>29-SEP-2022</v>
      </c>
      <c r="C25" t="str">
        <f>RIGHT(Dataset__3[[#This Row],[Product ID]],2)</f>
        <v>CA</v>
      </c>
      <c r="D25" t="s">
        <v>96</v>
      </c>
      <c r="E25" t="s">
        <v>97</v>
      </c>
      <c r="F25" s="9" t="str">
        <f>CONCATENATE(Dataset__3[[#This Row],[Product Name]]," ",Dataset__3[[#This Row],[Brand Name]])</f>
        <v>Smartphone Google</v>
      </c>
      <c r="G25" s="14">
        <v>800</v>
      </c>
      <c r="H25" s="11">
        <v>45</v>
      </c>
      <c r="I25" t="s">
        <v>28</v>
      </c>
    </row>
    <row r="26" spans="1:9" x14ac:dyDescent="0.25">
      <c r="A26" t="s">
        <v>145</v>
      </c>
      <c r="B26" s="16" t="str">
        <f>LEFT(Dataset__3[[#This Row],[Product ID]],11)</f>
        <v>03-JUN-2022</v>
      </c>
      <c r="C26" t="str">
        <f>RIGHT(Dataset__3[[#This Row],[Product ID]],2)</f>
        <v>CA</v>
      </c>
      <c r="D26" t="s">
        <v>81</v>
      </c>
      <c r="E26" t="s">
        <v>99</v>
      </c>
      <c r="F26" s="9" t="str">
        <f>CONCATENATE(Dataset__3[[#This Row],[Product Name]]," ",Dataset__3[[#This Row],[Brand Name]])</f>
        <v>Sunglasses Ray-Ban</v>
      </c>
      <c r="G26" s="14">
        <v>130</v>
      </c>
      <c r="H26" s="11">
        <v>25</v>
      </c>
      <c r="I26" t="s">
        <v>32</v>
      </c>
    </row>
    <row r="27" spans="1:9" x14ac:dyDescent="0.25">
      <c r="A27" t="s">
        <v>146</v>
      </c>
      <c r="B27" s="16" t="str">
        <f>LEFT(Dataset__3[[#This Row],[Product ID]],11)</f>
        <v>11-JUL-2022</v>
      </c>
      <c r="C27" t="str">
        <f>RIGHT(Dataset__3[[#This Row],[Product ID]],2)</f>
        <v>CA</v>
      </c>
      <c r="D27" t="s">
        <v>51</v>
      </c>
      <c r="E27" t="s">
        <v>101</v>
      </c>
      <c r="F27" s="9" t="str">
        <f>CONCATENATE(Dataset__3[[#This Row],[Product Name]]," ",Dataset__3[[#This Row],[Brand Name]])</f>
        <v>Blender Vitamix</v>
      </c>
      <c r="G27" s="14">
        <v>400</v>
      </c>
      <c r="H27" s="11">
        <v>40</v>
      </c>
      <c r="I27" t="s">
        <v>36</v>
      </c>
    </row>
    <row r="28" spans="1:9" x14ac:dyDescent="0.25">
      <c r="A28" t="s">
        <v>147</v>
      </c>
      <c r="B28" s="16" t="str">
        <f>LEFT(Dataset__3[[#This Row],[Product ID]],11)</f>
        <v>07-MAR-2022</v>
      </c>
      <c r="C28" t="str">
        <f>RIGHT(Dataset__3[[#This Row],[Product ID]],2)</f>
        <v>CA</v>
      </c>
      <c r="D28" t="s">
        <v>103</v>
      </c>
      <c r="E28" t="s">
        <v>104</v>
      </c>
      <c r="F28" s="9" t="str">
        <f>CONCATENATE(Dataset__3[[#This Row],[Product Name]]," ",Dataset__3[[#This Row],[Brand Name]])</f>
        <v>Dress Zara</v>
      </c>
      <c r="G28" s="14">
        <v>60</v>
      </c>
      <c r="H28" s="11">
        <v>30</v>
      </c>
      <c r="I28" t="s">
        <v>32</v>
      </c>
    </row>
    <row r="29" spans="1:9" x14ac:dyDescent="0.25">
      <c r="A29" t="s">
        <v>148</v>
      </c>
      <c r="B29" s="16" t="str">
        <f>LEFT(Dataset__3[[#This Row],[Product ID]],11)</f>
        <v>13-APR-2022</v>
      </c>
      <c r="C29" t="str">
        <f>RIGHT(Dataset__3[[#This Row],[Product ID]],2)</f>
        <v>CA</v>
      </c>
      <c r="D29" t="s">
        <v>106</v>
      </c>
      <c r="E29" t="s">
        <v>107</v>
      </c>
      <c r="F29" s="9" t="str">
        <f>CONCATENATE(Dataset__3[[#This Row],[Product Name]]," ",Dataset__3[[#This Row],[Brand Name]])</f>
        <v>Toaster Hamilton</v>
      </c>
      <c r="G29" s="14">
        <v>40</v>
      </c>
      <c r="H29" s="11">
        <v>10</v>
      </c>
      <c r="I29" t="s">
        <v>36</v>
      </c>
    </row>
    <row r="30" spans="1:9" x14ac:dyDescent="0.25">
      <c r="A30" t="s">
        <v>149</v>
      </c>
      <c r="B30" s="16" t="str">
        <f>LEFT(Dataset__3[[#This Row],[Product ID]],11)</f>
        <v>24-MAY-2022</v>
      </c>
      <c r="C30" t="str">
        <f>RIGHT(Dataset__3[[#This Row],[Product ID]],2)</f>
        <v>CA</v>
      </c>
      <c r="D30" t="s">
        <v>93</v>
      </c>
      <c r="E30" t="s">
        <v>109</v>
      </c>
      <c r="F30" s="9" t="str">
        <f>CONCATENATE(Dataset__3[[#This Row],[Product Name]]," ",Dataset__3[[#This Row],[Brand Name]])</f>
        <v>Fitness Tracker Garmin</v>
      </c>
      <c r="G30" s="14">
        <v>130</v>
      </c>
      <c r="H30" s="11">
        <v>5</v>
      </c>
      <c r="I30" t="s">
        <v>28</v>
      </c>
    </row>
    <row r="31" spans="1:9" x14ac:dyDescent="0.25">
      <c r="A31" t="s">
        <v>150</v>
      </c>
      <c r="B31" s="16" t="str">
        <f>LEFT(Dataset__3[[#This Row],[Product ID]],11)</f>
        <v>02-DEC-2022</v>
      </c>
      <c r="C31" t="str">
        <f>RIGHT(Dataset__3[[#This Row],[Product ID]],2)</f>
        <v>CA</v>
      </c>
      <c r="D31" t="s">
        <v>111</v>
      </c>
      <c r="E31" t="s">
        <v>117</v>
      </c>
      <c r="F31" s="9" t="str">
        <f>CONCATENATE(Dataset__3[[#This Row],[Product Name]]," ",Dataset__3[[#This Row],[Brand Name]])</f>
        <v>Jeans Levi'S</v>
      </c>
      <c r="G31" s="14">
        <v>50</v>
      </c>
      <c r="H31" s="11">
        <v>50</v>
      </c>
      <c r="I31" t="s">
        <v>32</v>
      </c>
    </row>
    <row r="32" spans="1:9" x14ac:dyDescent="0.25">
      <c r="A32" t="s">
        <v>151</v>
      </c>
      <c r="B32" s="16" t="str">
        <f>LEFT(Dataset__3[[#This Row],[Product ID]],11)</f>
        <v>09-JUL-2022</v>
      </c>
      <c r="C32" t="str">
        <f>RIGHT(Dataset__3[[#This Row],[Product ID]],2)</f>
        <v>FR</v>
      </c>
      <c r="D32" t="s">
        <v>114</v>
      </c>
      <c r="E32" t="s">
        <v>115</v>
      </c>
      <c r="F32" s="9" t="str">
        <f>CONCATENATE(Dataset__3[[#This Row],[Product Name]]," ",Dataset__3[[#This Row],[Brand Name]])</f>
        <v>Watch Casio</v>
      </c>
      <c r="G32" s="14">
        <v>100</v>
      </c>
      <c r="H32" s="11">
        <v>20</v>
      </c>
      <c r="I32" t="s">
        <v>75</v>
      </c>
    </row>
    <row r="33" spans="6:7" x14ac:dyDescent="0.25">
      <c r="F33"/>
      <c r="G33" s="15"/>
    </row>
    <row r="34" spans="6:7" x14ac:dyDescent="0.25">
      <c r="F34"/>
      <c r="G34" s="15"/>
    </row>
    <row r="35" spans="6:7" x14ac:dyDescent="0.25">
      <c r="F35"/>
      <c r="G35" s="15"/>
    </row>
  </sheetData>
  <phoneticPr fontId="8" type="noConversion"/>
  <conditionalFormatting sqref="G1:G1048576">
    <cfRule type="dataBar" priority="1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{87D80B06-AC1D-4774-B26E-6A71889D6B03}</x14:id>
        </ext>
      </extLst>
    </cfRule>
  </conditionalFormatting>
  <conditionalFormatting sqref="I1:I1048576">
    <cfRule type="cellIs" dxfId="1" priority="2" operator="equal">
      <formula>"Electronics"</formula>
    </cfRule>
  </conditionalFormatting>
  <pageMargins left="0.7" right="0.7" top="0.75" bottom="0.75" header="0.3" footer="0.3"/>
  <pageSetup orientation="portrait"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7D80B06-AC1D-4774-B26E-6A71889D6B03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G1:G1048576</xm:sqref>
        </x14:conditionalFormatting>
      </x14:conditionalFormatting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D85528B-F8FA-428D-B0C4-B30EDFC9A87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</vt:lpstr>
      <vt:lpstr>Dataset</vt:lpstr>
      <vt:lpstr>Solutions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AKSHAY KUMAR</dc:creator>
  <cp:lastModifiedBy>AKSHAY KUMAR</cp:lastModifiedBy>
  <dcterms:created xsi:type="dcterms:W3CDTF">2026-10-05T07:33:04Z</dcterms:created>
  <dcterms:modified xsi:type="dcterms:W3CDTF">2026-10-06T15:13:33Z</dcterms:modified>
</cp:coreProperties>
</file>